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lkg\OneDrive\Documents\GitHub\splGoldenDeathX\reports\"/>
    </mc:Choice>
  </mc:AlternateContent>
  <xr:revisionPtr revIDLastSave="0" documentId="8_{62B666B1-7694-4B51-85C8-D357EE60848E}" xr6:coauthVersionLast="47" xr6:coauthVersionMax="47" xr10:uidLastSave="{00000000-0000-0000-0000-000000000000}"/>
  <bookViews>
    <workbookView xWindow="-28920" yWindow="-45" windowWidth="29040" windowHeight="15720" xr2:uid="{70A9DBDD-3FA5-4397-8026-8349F53B9E02}"/>
  </bookViews>
  <sheets>
    <sheet name="convers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F12" i="1"/>
  <c r="F13" i="1"/>
  <c r="F14" i="1"/>
  <c r="F15" i="1"/>
  <c r="F16" i="1"/>
  <c r="F17" i="1"/>
  <c r="F18" i="1"/>
  <c r="F19" i="1"/>
  <c r="F20" i="1"/>
  <c r="F2" i="1"/>
  <c r="F3" i="1"/>
  <c r="F4" i="1"/>
  <c r="F5" i="1"/>
  <c r="F6" i="1"/>
  <c r="F7" i="1"/>
  <c r="F8" i="1"/>
  <c r="F9" i="1"/>
  <c r="F10" i="1"/>
  <c r="F1" i="1"/>
  <c r="C1" i="1"/>
  <c r="C2" i="1"/>
  <c r="C3" i="1"/>
  <c r="C4" i="1"/>
  <c r="C5" i="1"/>
  <c r="C6" i="1"/>
  <c r="C7" i="1"/>
  <c r="C8" i="1"/>
  <c r="C9" i="1"/>
  <c r="C10" i="1"/>
  <c r="C12" i="1"/>
  <c r="C13" i="1"/>
  <c r="C14" i="1"/>
  <c r="C15" i="1"/>
  <c r="C16" i="1"/>
  <c r="C17" i="1"/>
  <c r="C18" i="1"/>
  <c r="C19" i="1"/>
  <c r="C20" i="1"/>
  <c r="C1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&quot;$&quot;#,##0.00"/>
    <numFmt numFmtId="169" formatCode="&quot;$&quot;#,##0"/>
  </numFmts>
  <fonts count="2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1" fillId="0" borderId="0" xfId="0" applyNumberFormat="1" applyFont="1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C1D01-432A-4AC4-81CA-E42A418622C7}">
  <dimension ref="A1:F20"/>
  <sheetViews>
    <sheetView tabSelected="1" workbookViewId="0">
      <selection activeCell="L10" sqref="L10"/>
    </sheetView>
  </sheetViews>
  <sheetFormatPr defaultRowHeight="15" x14ac:dyDescent="0.25"/>
  <cols>
    <col min="3" max="3" width="11.140625" bestFit="1" customWidth="1"/>
    <col min="5" max="5" width="10.140625" bestFit="1" customWidth="1"/>
  </cols>
  <sheetData>
    <row r="1" spans="1:6" x14ac:dyDescent="0.25">
      <c r="A1" s="1">
        <v>361228</v>
      </c>
      <c r="B1" s="2">
        <v>0.01</v>
      </c>
      <c r="C1" s="3">
        <f t="shared" ref="C1:C10" si="0">$A$1*B1</f>
        <v>3612.28</v>
      </c>
      <c r="E1" s="3">
        <v>100000</v>
      </c>
      <c r="F1" s="2">
        <f>E1/$A$1</f>
        <v>0.27683346805895448</v>
      </c>
    </row>
    <row r="2" spans="1:6" x14ac:dyDescent="0.25">
      <c r="B2" s="2">
        <v>0.1</v>
      </c>
      <c r="C2" s="3">
        <f t="shared" si="0"/>
        <v>36122.800000000003</v>
      </c>
      <c r="E2" s="3">
        <v>200000</v>
      </c>
      <c r="F2" s="2">
        <f>E2/$A$1</f>
        <v>0.55366693611790896</v>
      </c>
    </row>
    <row r="3" spans="1:6" x14ac:dyDescent="0.25">
      <c r="B3" s="2">
        <v>0.2</v>
      </c>
      <c r="C3" s="3">
        <f t="shared" si="0"/>
        <v>72245.600000000006</v>
      </c>
      <c r="E3" s="3">
        <v>300000</v>
      </c>
      <c r="F3" s="2">
        <f>E3/$A$1</f>
        <v>0.83050040417686333</v>
      </c>
    </row>
    <row r="4" spans="1:6" x14ac:dyDescent="0.25">
      <c r="B4" s="2">
        <v>0.3</v>
      </c>
      <c r="C4" s="3">
        <f t="shared" si="0"/>
        <v>108368.4</v>
      </c>
      <c r="E4" s="3">
        <v>400000</v>
      </c>
      <c r="F4" s="2">
        <f>E4/$A$1</f>
        <v>1.1073338722358179</v>
      </c>
    </row>
    <row r="5" spans="1:6" x14ac:dyDescent="0.25">
      <c r="B5" s="2">
        <v>0.4</v>
      </c>
      <c r="C5" s="3">
        <f t="shared" si="0"/>
        <v>144491.20000000001</v>
      </c>
      <c r="E5" s="3">
        <v>500000</v>
      </c>
      <c r="F5" s="2">
        <f>E5/$A$1</f>
        <v>1.3841673402947723</v>
      </c>
    </row>
    <row r="6" spans="1:6" x14ac:dyDescent="0.25">
      <c r="B6" s="2">
        <v>0.5</v>
      </c>
      <c r="C6" s="3">
        <f t="shared" si="0"/>
        <v>180614</v>
      </c>
      <c r="E6" s="3">
        <v>600000</v>
      </c>
      <c r="F6" s="2">
        <f>E6/$A$1</f>
        <v>1.6610008083537267</v>
      </c>
    </row>
    <row r="7" spans="1:6" x14ac:dyDescent="0.25">
      <c r="B7" s="2">
        <v>0.6</v>
      </c>
      <c r="C7" s="3">
        <f t="shared" si="0"/>
        <v>216736.8</v>
      </c>
      <c r="E7" s="3">
        <v>700000</v>
      </c>
      <c r="F7" s="2">
        <f>E7/$A$1</f>
        <v>1.9378342764126812</v>
      </c>
    </row>
    <row r="8" spans="1:6" x14ac:dyDescent="0.25">
      <c r="B8" s="2">
        <v>0.7</v>
      </c>
      <c r="C8" s="3">
        <f t="shared" si="0"/>
        <v>252859.59999999998</v>
      </c>
      <c r="E8" s="3">
        <v>800000</v>
      </c>
      <c r="F8" s="2">
        <f>E8/$A$1</f>
        <v>2.2146677444716358</v>
      </c>
    </row>
    <row r="9" spans="1:6" x14ac:dyDescent="0.25">
      <c r="B9" s="2">
        <v>0.8</v>
      </c>
      <c r="C9" s="3">
        <f t="shared" si="0"/>
        <v>288982.40000000002</v>
      </c>
      <c r="E9" s="3">
        <v>900000</v>
      </c>
      <c r="F9" s="2">
        <f>E9/$A$1</f>
        <v>2.49150121253059</v>
      </c>
    </row>
    <row r="10" spans="1:6" x14ac:dyDescent="0.25">
      <c r="B10" s="2">
        <v>0.9</v>
      </c>
      <c r="C10" s="3">
        <f t="shared" si="0"/>
        <v>325105.2</v>
      </c>
      <c r="E10" s="3">
        <v>1000000</v>
      </c>
      <c r="F10" s="2">
        <f>E10/$A$1</f>
        <v>2.7683346805895446</v>
      </c>
    </row>
    <row r="11" spans="1:6" x14ac:dyDescent="0.25">
      <c r="B11" s="2">
        <v>1</v>
      </c>
      <c r="C11" s="3">
        <f>$A$1*B11</f>
        <v>361228</v>
      </c>
      <c r="E11" s="3">
        <v>1100000</v>
      </c>
      <c r="F11" s="2">
        <f>E11/$A$1</f>
        <v>3.0451681486484992</v>
      </c>
    </row>
    <row r="12" spans="1:6" x14ac:dyDescent="0.25">
      <c r="B12" s="2">
        <v>2</v>
      </c>
      <c r="C12" s="3">
        <f t="shared" ref="C12:C20" si="1">$A$1*B12</f>
        <v>722456</v>
      </c>
      <c r="E12" s="3">
        <v>1200000</v>
      </c>
      <c r="F12" s="2">
        <f>E12/$A$1</f>
        <v>3.3220016167074533</v>
      </c>
    </row>
    <row r="13" spans="1:6" x14ac:dyDescent="0.25">
      <c r="B13" s="2">
        <v>3</v>
      </c>
      <c r="C13" s="3">
        <f t="shared" si="1"/>
        <v>1083684</v>
      </c>
      <c r="E13" s="3">
        <v>1300000</v>
      </c>
      <c r="F13" s="2">
        <f>E13/$A$1</f>
        <v>3.5988350847664079</v>
      </c>
    </row>
    <row r="14" spans="1:6" x14ac:dyDescent="0.25">
      <c r="B14" s="2">
        <v>4</v>
      </c>
      <c r="C14" s="3">
        <f t="shared" si="1"/>
        <v>1444912</v>
      </c>
      <c r="E14" s="3">
        <v>1400000</v>
      </c>
      <c r="F14" s="2">
        <f>E14/$A$1</f>
        <v>3.8756685528253625</v>
      </c>
    </row>
    <row r="15" spans="1:6" x14ac:dyDescent="0.25">
      <c r="B15" s="2">
        <v>5</v>
      </c>
      <c r="C15" s="3">
        <f t="shared" si="1"/>
        <v>1806140</v>
      </c>
      <c r="E15" s="3">
        <v>1500000</v>
      </c>
      <c r="F15" s="2">
        <f>E15/$A$1</f>
        <v>4.1525020208843166</v>
      </c>
    </row>
    <row r="16" spans="1:6" x14ac:dyDescent="0.25">
      <c r="B16" s="2">
        <v>6</v>
      </c>
      <c r="C16" s="3">
        <f t="shared" si="1"/>
        <v>2167368</v>
      </c>
      <c r="E16" s="3">
        <v>1600000</v>
      </c>
      <c r="F16" s="2">
        <f>E16/$A$1</f>
        <v>4.4293354889432717</v>
      </c>
    </row>
    <row r="17" spans="2:6" x14ac:dyDescent="0.25">
      <c r="B17" s="2">
        <v>7</v>
      </c>
      <c r="C17" s="3">
        <f t="shared" si="1"/>
        <v>2528596</v>
      </c>
      <c r="E17" s="3">
        <v>1700000</v>
      </c>
      <c r="F17" s="2">
        <f>E17/$A$1</f>
        <v>4.7061689570022258</v>
      </c>
    </row>
    <row r="18" spans="2:6" x14ac:dyDescent="0.25">
      <c r="B18" s="2">
        <v>8</v>
      </c>
      <c r="C18" s="3">
        <f t="shared" si="1"/>
        <v>2889824</v>
      </c>
      <c r="E18" s="3">
        <v>1800000</v>
      </c>
      <c r="F18" s="2">
        <f>E18/$A$1</f>
        <v>4.98300242506118</v>
      </c>
    </row>
    <row r="19" spans="2:6" x14ac:dyDescent="0.25">
      <c r="B19" s="2">
        <v>9</v>
      </c>
      <c r="C19" s="3">
        <f t="shared" si="1"/>
        <v>3251052</v>
      </c>
      <c r="E19" s="3">
        <v>1900000</v>
      </c>
      <c r="F19" s="2">
        <f>E19/$A$1</f>
        <v>5.259835893120135</v>
      </c>
    </row>
    <row r="20" spans="2:6" x14ac:dyDescent="0.25">
      <c r="B20" s="2">
        <v>10</v>
      </c>
      <c r="C20" s="3">
        <f t="shared" si="1"/>
        <v>3612280</v>
      </c>
      <c r="E20" s="3">
        <v>2000000</v>
      </c>
      <c r="F20" s="2">
        <f>E20/$A$1</f>
        <v>5.5366693611790891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C6CE317957FD4DA3238D34E79402B8" ma:contentTypeVersion="28" ma:contentTypeDescription="Create a new document." ma:contentTypeScope="" ma:versionID="d07f3f0b786885366edad897459e8493">
  <xsd:schema xmlns:xsd="http://www.w3.org/2001/XMLSchema" xmlns:xs="http://www.w3.org/2001/XMLSchema" xmlns:p="http://schemas.microsoft.com/office/2006/metadata/properties" xmlns:ns1="http://schemas.microsoft.com/sharepoint/v3" xmlns:ns3="6f40d79a-563a-41a4-a883-15a24e9dc174" xmlns:ns4="68c1519c-c39e-4809-b20c-789cf222ebba" targetNamespace="http://schemas.microsoft.com/office/2006/metadata/properties" ma:root="true" ma:fieldsID="63065f40fd8d04ba230032a776f83fdc" ns1:_="" ns3:_="" ns4:_="">
    <xsd:import namespace="http://schemas.microsoft.com/sharepoint/v3"/>
    <xsd:import namespace="6f40d79a-563a-41a4-a883-15a24e9dc174"/>
    <xsd:import namespace="68c1519c-c39e-4809-b20c-789cf222ebba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NotebookType" minOccurs="0"/>
                <xsd:element ref="ns4:FolderType" minOccurs="0"/>
                <xsd:element ref="ns4:Owner" minOccurs="0"/>
                <xsd:element ref="ns4:DefaultSectionNames" minOccurs="0"/>
                <xsd:element ref="ns4:AppVersion" minOccurs="0"/>
                <xsd:element ref="ns4:Teachers" minOccurs="0"/>
                <xsd:element ref="ns4:Students" minOccurs="0"/>
                <xsd:element ref="ns4:Student_Groups" minOccurs="0"/>
                <xsd:element ref="ns3:LastSharedByUser" minOccurs="0"/>
                <xsd:element ref="ns3:LastSharedByTime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1:_ip_UnifiedCompliancePolicyProperties" minOccurs="0"/>
                <xsd:element ref="ns1:_ip_UnifiedCompliancePolicyUIAction" minOccurs="0"/>
                <xsd:element ref="ns4:MediaServiceAutoKeyPoints" minOccurs="0"/>
                <xsd:element ref="ns4:MediaServiceKeyPoints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SearchProperties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40d79a-563a-41a4-a883-15a24e9dc17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internalName="SharingHintHash" ma:readOnly="true">
      <xsd:simpleType>
        <xsd:restriction base="dms:Text"/>
      </xsd:simpleType>
    </xsd:element>
    <xsd:element name="LastSharedByUser" ma:index="19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20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c1519c-c39e-4809-b20c-789cf222ebba" elementFormDefault="qualified">
    <xsd:import namespace="http://schemas.microsoft.com/office/2006/documentManagement/types"/>
    <xsd:import namespace="http://schemas.microsoft.com/office/infopath/2007/PartnerControls"/>
    <xsd:element name="NotebookType" ma:index="11" nillable="true" ma:displayName="Notebook Type" ma:indexed="true" ma:internalName="NotebookType">
      <xsd:simpleType>
        <xsd:restriction base="dms:Text"/>
      </xsd:simpleType>
    </xsd:element>
    <xsd:element name="FolderType" ma:index="12" nillable="true" ma:displayName="Folder Type" ma:internalName="FolderType">
      <xsd:simpleType>
        <xsd:restriction base="dms:Text"/>
      </xsd:simpleType>
    </xsd:element>
    <xsd:element name="Owner" ma:index="13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efaultSectionNames" ma:index="14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AppVersion" ma:index="15" nillable="true" ma:displayName="App Version" ma:internalName="AppVersion">
      <xsd:simpleType>
        <xsd:restriction base="dms:Text"/>
      </xsd:simpleType>
    </xsd:element>
    <xsd:element name="Teachers" ma:index="16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17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18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2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2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24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2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6" nillable="true" ma:displayName="MediaServiceLocation" ma:internalName="MediaServiceLocation" ma:readOnly="true">
      <xsd:simpleType>
        <xsd:restriction base="dms:Text"/>
      </xsd:simpleType>
    </xsd:element>
    <xsd:element name="MediaServiceAutoKeyPoints" ma:index="2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3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33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68c1519c-c39e-4809-b20c-789cf222ebba">
      <UserInfo>
        <DisplayName/>
        <AccountId xsi:nil="true"/>
        <AccountType/>
      </UserInfo>
    </Owner>
    <_ip_UnifiedCompliancePolicyUIAction xmlns="http://schemas.microsoft.com/sharepoint/v3" xsi:nil="true"/>
    <FolderType xmlns="68c1519c-c39e-4809-b20c-789cf222ebba" xsi:nil="true"/>
    <Student_Groups xmlns="68c1519c-c39e-4809-b20c-789cf222ebba">
      <UserInfo>
        <DisplayName/>
        <AccountId xsi:nil="true"/>
        <AccountType/>
      </UserInfo>
    </Student_Groups>
    <AppVersion xmlns="68c1519c-c39e-4809-b20c-789cf222ebba" xsi:nil="true"/>
    <Students xmlns="68c1519c-c39e-4809-b20c-789cf222ebba">
      <UserInfo>
        <DisplayName/>
        <AccountId xsi:nil="true"/>
        <AccountType/>
      </UserInfo>
    </Students>
    <_ip_UnifiedCompliancePolicyProperties xmlns="http://schemas.microsoft.com/sharepoint/v3" xsi:nil="true"/>
    <NotebookType xmlns="68c1519c-c39e-4809-b20c-789cf222ebba" xsi:nil="true"/>
    <Teachers xmlns="68c1519c-c39e-4809-b20c-789cf222ebba">
      <UserInfo>
        <DisplayName/>
        <AccountId xsi:nil="true"/>
        <AccountType/>
      </UserInfo>
    </Teachers>
    <DefaultSectionNames xmlns="68c1519c-c39e-4809-b20c-789cf222ebba" xsi:nil="true"/>
  </documentManagement>
</p:properties>
</file>

<file path=customXml/itemProps1.xml><?xml version="1.0" encoding="utf-8"?>
<ds:datastoreItem xmlns:ds="http://schemas.openxmlformats.org/officeDocument/2006/customXml" ds:itemID="{92931162-E70A-4B48-9E78-F81B478644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f40d79a-563a-41a4-a883-15a24e9dc174"/>
    <ds:schemaRef ds:uri="68c1519c-c39e-4809-b20c-789cf222eb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DCFC13-A35F-4B89-AEC7-833AF3D76C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D69308-774E-4637-827A-D6EC4ECD3A28}">
  <ds:schemaRefs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6f40d79a-563a-41a4-a883-15a24e9dc174"/>
    <ds:schemaRef ds:uri="http://schemas.microsoft.com/office/2006/metadata/properties"/>
    <ds:schemaRef ds:uri="68c1519c-c39e-4809-b20c-789cf222ebba"/>
    <ds:schemaRef ds:uri="http://schemas.microsoft.com/sharepoint/v3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 C Falk</dc:creator>
  <cp:lastModifiedBy>Glen C Falk</cp:lastModifiedBy>
  <dcterms:created xsi:type="dcterms:W3CDTF">2025-10-30T15:02:06Z</dcterms:created>
  <dcterms:modified xsi:type="dcterms:W3CDTF">2025-10-30T15:16:30Z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0x01010034C6CE317957FD4DA3238D34E79402B8</vt:lpwstr>
  </property>
</Properties>
</file>